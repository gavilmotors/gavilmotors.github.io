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8EF2A7B-D9D5-47E4-8D06-7721534E73EE}" xr6:coauthVersionLast="47" xr6:coauthVersionMax="47" xr10:uidLastSave="{00000000-0000-0000-0000-000000000000}"/>
  <bookViews>
    <workbookView xWindow="-120" yWindow="-120" windowWidth="29040" windowHeight="15720" xr2:uid="{87F34B65-7870-41B1-957E-91B83BF80D99}"/>
  </bookViews>
  <sheets>
    <sheet name="autos_gavil_2025-12-04" sheetId="1" r:id="rId1"/>
  </sheets>
  <calcPr calcId="181029"/>
</workbook>
</file>

<file path=xl/calcChain.xml><?xml version="1.0" encoding="utf-8"?>
<calcChain xmlns="http://schemas.openxmlformats.org/spreadsheetml/2006/main">
  <c r="M51" i="1" l="1"/>
  <c r="M37" i="1"/>
  <c r="M42" i="1"/>
  <c r="J41" i="1"/>
  <c r="M41" i="1" s="1"/>
  <c r="M39" i="1"/>
  <c r="M36" i="1" l="1"/>
</calcChain>
</file>

<file path=xl/sharedStrings.xml><?xml version="1.0" encoding="utf-8"?>
<sst xmlns="http://schemas.openxmlformats.org/spreadsheetml/2006/main" count="456" uniqueCount="263">
  <si>
    <t>Marca</t>
  </si>
  <si>
    <t>Modelo</t>
  </si>
  <si>
    <t>Color</t>
  </si>
  <si>
    <t>Placa</t>
  </si>
  <si>
    <t>Fecha Compra</t>
  </si>
  <si>
    <t>Fecha Venta</t>
  </si>
  <si>
    <t>Precio Compra $</t>
  </si>
  <si>
    <t>Precio Venta $</t>
  </si>
  <si>
    <t>Gastos Detalle</t>
  </si>
  <si>
    <t>Total Gastos $</t>
  </si>
  <si>
    <t>Comisión Compra $</t>
  </si>
  <si>
    <t>Comisión Venta $</t>
  </si>
  <si>
    <t>Ganancia $</t>
  </si>
  <si>
    <t>GREAT WALL</t>
  </si>
  <si>
    <t>H5</t>
  </si>
  <si>
    <t>PLATEADO</t>
  </si>
  <si>
    <t>PCP5044</t>
  </si>
  <si>
    <t>$8.000,00</t>
  </si>
  <si>
    <t>$8.900,00</t>
  </si>
  <si>
    <t>$0,00</t>
  </si>
  <si>
    <t>$100,00</t>
  </si>
  <si>
    <t>$700,00</t>
  </si>
  <si>
    <t>HYUNDAI</t>
  </si>
  <si>
    <t>I10</t>
  </si>
  <si>
    <t>ABC9272</t>
  </si>
  <si>
    <t>$6.200,00</t>
  </si>
  <si>
    <t>$6.800,00</t>
  </si>
  <si>
    <t>ARREGLO TABLERO: 25.00</t>
  </si>
  <si>
    <t>$25,00</t>
  </si>
  <si>
    <t>$475,00</t>
  </si>
  <si>
    <t>CHEVROLET</t>
  </si>
  <si>
    <t>SAIL 2012</t>
  </si>
  <si>
    <t>NEGRO</t>
  </si>
  <si>
    <t>PCA6757</t>
  </si>
  <si>
    <t>$4.500,00</t>
  </si>
  <si>
    <t>$7.000,00</t>
  </si>
  <si>
    <t>CABEZOTE: 285.00 
BUJIAS FILTRO DE AIRE: 18.00
 TUBO VARILLA DE ACEITE: 49.50
TABLERO: 25.00
 Pistones-cepillado-cabezote-cigüeñal : 222.00
 REPARACION MOTOR: 280.00
PINTURA: 350.00
 RECALIBRACION VALVULAS: 34.50
 WINCHA: 25.00</t>
  </si>
  <si>
    <t>$1.289,00</t>
  </si>
  <si>
    <t>$75,00</t>
  </si>
  <si>
    <t>$1.111,00</t>
  </si>
  <si>
    <t>KIA</t>
  </si>
  <si>
    <t>SOLUTO 2020</t>
  </si>
  <si>
    <t>PDQ7384</t>
  </si>
  <si>
    <t>$10.500,00</t>
  </si>
  <si>
    <t>$11.500,00</t>
  </si>
  <si>
    <t>$875,00</t>
  </si>
  <si>
    <t xml:space="preserve">CHEVROLET </t>
  </si>
  <si>
    <t>LUV 2001</t>
  </si>
  <si>
    <t>BLANCO</t>
  </si>
  <si>
    <t>PBJ8253</t>
  </si>
  <si>
    <t>$6.000,00</t>
  </si>
  <si>
    <t>CAJUELA-GUARDACHOQUE-BATE PIEDRA: 60.00
 ARREGLO FRENO DE MANO: 10.00
PLAQUETA: 150.00
 DUPLICADO MATRICULA: 10.00
PARABRISAS: 85.00</t>
  </si>
  <si>
    <t>$315,00</t>
  </si>
  <si>
    <t>$510,00</t>
  </si>
  <si>
    <t>SAIL 2017</t>
  </si>
  <si>
    <t>GSU2578</t>
  </si>
  <si>
    <t>$7.300,00</t>
  </si>
  <si>
    <t>RADIO : 25.00
BUJIAS: 15.40
TABLERO: 25.00</t>
  </si>
  <si>
    <t>$65,40</t>
  </si>
  <si>
    <t>$1.034,60</t>
  </si>
  <si>
    <t>FORD</t>
  </si>
  <si>
    <t>ECOSPORTS 2006</t>
  </si>
  <si>
    <t>ROJO</t>
  </si>
  <si>
    <t>PTB0429</t>
  </si>
  <si>
    <t>$5.500,00</t>
  </si>
  <si>
    <t>$6.400,00</t>
  </si>
  <si>
    <t>FALLA DEL MOTOR: 10.00</t>
  </si>
  <si>
    <t>$10,00</t>
  </si>
  <si>
    <t>$765,00</t>
  </si>
  <si>
    <t>FAMILY 2012</t>
  </si>
  <si>
    <t>PLOMO</t>
  </si>
  <si>
    <t>PBY9068</t>
  </si>
  <si>
    <t>$5.900,00</t>
  </si>
  <si>
    <t>REMACHES: 50.00</t>
  </si>
  <si>
    <t>$50,00</t>
  </si>
  <si>
    <t>JCM</t>
  </si>
  <si>
    <t xml:space="preserve">CAMION </t>
  </si>
  <si>
    <t>PCI3555</t>
  </si>
  <si>
    <t>$800,00</t>
  </si>
  <si>
    <t>CHERY</t>
  </si>
  <si>
    <t>TIGGO5 2016</t>
  </si>
  <si>
    <t>PCQ8288</t>
  </si>
  <si>
    <t>$7.400,00</t>
  </si>
  <si>
    <t>CAMBIO</t>
  </si>
  <si>
    <t>CHEVITAXI</t>
  </si>
  <si>
    <t>CAH0051</t>
  </si>
  <si>
    <t>$3.500,00</t>
  </si>
  <si>
    <t>$4.400,00</t>
  </si>
  <si>
    <t>$775,00</t>
  </si>
  <si>
    <t>ACTIVO 2010</t>
  </si>
  <si>
    <t>VINO</t>
  </si>
  <si>
    <t>IBA3358</t>
  </si>
  <si>
    <t>$4.200,00</t>
  </si>
  <si>
    <t>$5.350,00</t>
  </si>
  <si>
    <t>CAMBIO TAPA
VALVULAS MEDIA
COMPRESION CAMBIO VARILLA DE  ACEITE: 25.00</t>
  </si>
  <si>
    <t>$1.125,00</t>
  </si>
  <si>
    <t>CORSA 2002</t>
  </si>
  <si>
    <t>AZUL</t>
  </si>
  <si>
    <t>PYR0921</t>
  </si>
  <si>
    <t>$3.200,00</t>
  </si>
  <si>
    <t>$4.630,00</t>
  </si>
  <si>
    <t>$1.255,00</t>
  </si>
  <si>
    <t>TOYOTA</t>
  </si>
  <si>
    <t>PRIUS 2013</t>
  </si>
  <si>
    <t>PBZ7363</t>
  </si>
  <si>
    <t>$6.500,00</t>
  </si>
  <si>
    <t>$8.130,00</t>
  </si>
  <si>
    <t>$1.480,00</t>
  </si>
  <si>
    <t>SOUEAST</t>
  </si>
  <si>
    <t>DX3 2020</t>
  </si>
  <si>
    <t>PDK1118</t>
  </si>
  <si>
    <t>$9.700,00</t>
  </si>
  <si>
    <t>$9.625,00</t>
  </si>
  <si>
    <t>ACCENT 2019</t>
  </si>
  <si>
    <t>PDI2309</t>
  </si>
  <si>
    <t>$12.500,00</t>
  </si>
  <si>
    <t>$1.850,00</t>
  </si>
  <si>
    <t>SUZUKI</t>
  </si>
  <si>
    <t>GRAN VITARA 2011</t>
  </si>
  <si>
    <t>DORADO</t>
  </si>
  <si>
    <t>PBN6479</t>
  </si>
  <si>
    <t>$9.500,00</t>
  </si>
  <si>
    <t>$1.350,00</t>
  </si>
  <si>
    <t>RIO</t>
  </si>
  <si>
    <t>IBA6719</t>
  </si>
  <si>
    <t>COMPRO DAVID</t>
  </si>
  <si>
    <t>AUDI</t>
  </si>
  <si>
    <t>A3</t>
  </si>
  <si>
    <t>PDO0902</t>
  </si>
  <si>
    <t>REVISAR GASTOS</t>
  </si>
  <si>
    <t>PRIUS 2010</t>
  </si>
  <si>
    <t>PBJ4528</t>
  </si>
  <si>
    <t>$7.850,00</t>
  </si>
  <si>
    <t>SOLUTO 2026</t>
  </si>
  <si>
    <t>CREMA</t>
  </si>
  <si>
    <t>PFP2617</t>
  </si>
  <si>
    <t>1% SRI: 205.98</t>
  </si>
  <si>
    <t>$205,98</t>
  </si>
  <si>
    <t>COMISION</t>
  </si>
  <si>
    <t>FAMILY 2011</t>
  </si>
  <si>
    <t xml:space="preserve">ROJO </t>
  </si>
  <si>
    <t>PBN9188</t>
  </si>
  <si>
    <t>$4.800,00</t>
  </si>
  <si>
    <t>$5.400,00</t>
  </si>
  <si>
    <t>PASTILLAS: 5.00 
GUARDACHOQUES: 70.00
ARREGLO PUERTA: 100.00
PINTURA PLASTICOS: 40.00
LLANTAS: 3.00</t>
  </si>
  <si>
    <t>$218,00</t>
  </si>
  <si>
    <t>$307,00</t>
  </si>
  <si>
    <t>FIESTA</t>
  </si>
  <si>
    <t>TDG0675</t>
  </si>
  <si>
    <t>$2.500,00</t>
  </si>
  <si>
    <t>$5.000,00</t>
  </si>
  <si>
    <t>$2.425,00</t>
  </si>
  <si>
    <t>CAMBIO REVISAR</t>
  </si>
  <si>
    <t>GETZ 2009</t>
  </si>
  <si>
    <t>PBC8954</t>
  </si>
  <si>
    <t>NO PRENDE .BOMBA DE 
GASOLINA FILTRO DE COMBUSTIBLE: 20.00</t>
  </si>
  <si>
    <t>$20,00</t>
  </si>
  <si>
    <t>$1.280,00</t>
  </si>
  <si>
    <t>VITARA SPORT</t>
  </si>
  <si>
    <t>PXS0989</t>
  </si>
  <si>
    <t>$3.800,00</t>
  </si>
  <si>
    <t>$4.700,00</t>
  </si>
  <si>
    <t>WINCHA: 60.00
VIATICOS GIAN: 16.00</t>
  </si>
  <si>
    <t>$76,00</t>
  </si>
  <si>
    <t>$674,00</t>
  </si>
  <si>
    <t>RENAULT</t>
  </si>
  <si>
    <t>LOGAN 2008</t>
  </si>
  <si>
    <t>PBA7962</t>
  </si>
  <si>
    <t>$4.600,00</t>
  </si>
  <si>
    <t>$825,00</t>
  </si>
  <si>
    <t>JETOUR</t>
  </si>
  <si>
    <t>X70</t>
  </si>
  <si>
    <t>PFL6643</t>
  </si>
  <si>
    <t>$14.000,00</t>
  </si>
  <si>
    <t>$15.600,00</t>
  </si>
  <si>
    <t>$1.425,00</t>
  </si>
  <si>
    <t>SANDERO</t>
  </si>
  <si>
    <t>PBW6261</t>
  </si>
  <si>
    <t>$6.650,00</t>
  </si>
  <si>
    <t>$7.700,00</t>
  </si>
  <si>
    <t>LOGAN</t>
  </si>
  <si>
    <t>PBT1334</t>
  </si>
  <si>
    <t>$5.300,00</t>
  </si>
  <si>
    <t>$200,00</t>
  </si>
  <si>
    <t>VITARA A/T</t>
  </si>
  <si>
    <t>PWN0503</t>
  </si>
  <si>
    <t>$4.990,00</t>
  </si>
  <si>
    <t>-$110,00</t>
  </si>
  <si>
    <t>REVISAR PERDIDA</t>
  </si>
  <si>
    <t>SANDERO 2010</t>
  </si>
  <si>
    <t>RBA1731</t>
  </si>
  <si>
    <t>PINTURA COMPLETA: 290.00</t>
  </si>
  <si>
    <t>$290,00</t>
  </si>
  <si>
    <t>$560,00</t>
  </si>
  <si>
    <t>TUCSON 2014</t>
  </si>
  <si>
    <t>ABD5787</t>
  </si>
  <si>
    <t>$8.800,00</t>
  </si>
  <si>
    <t>$1.675,00</t>
  </si>
  <si>
    <t xml:space="preserve"> REVISAR VALOR DE 
PARABRISAS</t>
  </si>
  <si>
    <t>CORSA</t>
  </si>
  <si>
    <t>EVOLUTION 2005</t>
  </si>
  <si>
    <t>PNQ0172</t>
  </si>
  <si>
    <t>---</t>
  </si>
  <si>
    <t>$3500.00</t>
  </si>
  <si>
    <t>$4800.00</t>
  </si>
  <si>
    <t>• CAMBIO DE DISCO: $20.00
 CAMBIO DE DISCO: $20.00
• CAMBIO PASTILLAS: $5.00
• CAMBIO EMAQUE DE CARTER: $10.00
• CAMBIIO RETEN EJE FLOTANTE: $15.00
• CAMBIO CILINDRO DE FRENOS: $20.00
• EMPACADA DE ZAPATAS 2 LADOS: $15.00
• ARREGLO FRENO DE MANO: $15.00
• REAJUSTE DE SUSPENSIÓN: $10.00
• SUELDA DE CAJUELA GUARDAFANG TRASERO Y FALLA DELANT: $90.00
• PARCHE: $10.00
• PIEZA FRENO: $122.00
• EMPACADA ZAPATA OBRA: $20.00</t>
  </si>
  <si>
    <t>$352.00</t>
  </si>
  <si>
    <t>$25.00</t>
  </si>
  <si>
    <t>$75.00</t>
  </si>
  <si>
    <t>$848.00</t>
  </si>
  <si>
    <t>ZOTYE</t>
  </si>
  <si>
    <t>Z100</t>
  </si>
  <si>
    <t>PDG5197</t>
  </si>
  <si>
    <t>STYLUS</t>
  </si>
  <si>
    <t>JBF0004</t>
  </si>
  <si>
    <t>PBO5032</t>
  </si>
  <si>
    <t>SPARK 2009</t>
  </si>
  <si>
    <t>PDB8089</t>
  </si>
  <si>
    <t>CAMBIO CREMALLERA Y
RULIMAN 40</t>
  </si>
  <si>
    <t>REVISAR VALOR TOTAL</t>
  </si>
  <si>
    <t>NISSAN</t>
  </si>
  <si>
    <t>FRONTIER</t>
  </si>
  <si>
    <t>AFZ0897</t>
  </si>
  <si>
    <t>PUERTA Y GUARDAFANGO</t>
  </si>
  <si>
    <t>PEUGEOT</t>
  </si>
  <si>
    <t>BERLINA</t>
  </si>
  <si>
    <t>VERDE</t>
  </si>
  <si>
    <t>PYT0407</t>
  </si>
  <si>
    <t>OPTRA</t>
  </si>
  <si>
    <t>HCL0274</t>
  </si>
  <si>
    <t>PBS5862</t>
  </si>
  <si>
    <t>PICANTO</t>
  </si>
  <si>
    <t>BATERIA 70
PINTURA 45</t>
  </si>
  <si>
    <t>CAMBIO DE MESA 15</t>
  </si>
  <si>
    <t>CAMBIO EMBRAGUE 8
WILLY TRABAJO 10</t>
  </si>
  <si>
    <t>VOLKSWAGEN</t>
  </si>
  <si>
    <t>GOL</t>
  </si>
  <si>
    <t>PRF0654</t>
  </si>
  <si>
    <t>SPARK 2007</t>
  </si>
  <si>
    <t>PQO0856</t>
  </si>
  <si>
    <t>GAC</t>
  </si>
  <si>
    <t>GAC 2023</t>
  </si>
  <si>
    <t>LBD5834</t>
  </si>
  <si>
    <t>PENDIENTE</t>
  </si>
  <si>
    <t>CAPTIVA 2020</t>
  </si>
  <si>
    <t>PDK2691</t>
  </si>
  <si>
    <t>VER CAMBIO</t>
  </si>
  <si>
    <t>PENDIENTE PRECIO DE COMPRA</t>
  </si>
  <si>
    <t>PENDIENTE PRECIO DE VENTA</t>
  </si>
  <si>
    <t>IBB2122</t>
  </si>
  <si>
    <t>AVEO</t>
  </si>
  <si>
    <t>SE VENDIO A DAVID</t>
  </si>
  <si>
    <t>MAZDA</t>
  </si>
  <si>
    <t>BT50</t>
  </si>
  <si>
    <t>PCB2840</t>
  </si>
  <si>
    <t xml:space="preserve">CABEZOTE $300
</t>
  </si>
  <si>
    <t>REVISAR</t>
  </si>
  <si>
    <t>REVISAR GASTOS ESTIMADO $3000</t>
  </si>
  <si>
    <t>MEGANE</t>
  </si>
  <si>
    <t>PYZ0788</t>
  </si>
  <si>
    <t>MATSURI</t>
  </si>
  <si>
    <t>TCA0103</t>
  </si>
  <si>
    <t>REVISAR DAVID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</si>
</sst>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$-300A]* #,##0.00_ ;_ [$$-300A]* \-#,##0.00_ ;_ [$$-300A]* &quot;-&quot;??_ ;_ @_ "/>
    <numFmt numFmtId="165" formatCode="[$$-300A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6C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0" fillId="33" borderId="10" xfId="0" applyFill="1" applyBorder="1"/>
    <xf numFmtId="164" fontId="0" fillId="33" borderId="10" xfId="0" applyNumberFormat="1" applyFill="1" applyBorder="1"/>
    <xf numFmtId="165" fontId="0" fillId="33" borderId="10" xfId="0" applyNumberFormat="1" applyFill="1" applyBorder="1"/>
    <xf numFmtId="165" fontId="0" fillId="34" borderId="10" xfId="0" applyNumberFormat="1" applyFill="1" applyBorder="1"/>
    <xf numFmtId="0" fontId="0" fillId="35" borderId="10" xfId="0" applyFill="1" applyBorder="1"/>
    <xf numFmtId="14" fontId="0" fillId="35" borderId="10" xfId="0" applyNumberFormat="1" applyFill="1" applyBorder="1"/>
    <xf numFmtId="164" fontId="0" fillId="35" borderId="10" xfId="0" applyNumberFormat="1" applyFill="1" applyBorder="1"/>
    <xf numFmtId="165" fontId="0" fillId="35" borderId="10" xfId="0" applyNumberFormat="1" applyFill="1" applyBorder="1"/>
    <xf numFmtId="0" fontId="0" fillId="35" borderId="1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18" fillId="0" borderId="0" xfId="0" applyFont="1" applyFill="1"/>
    <xf numFmtId="165" fontId="0" fillId="0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0C8A-0F4E-44D5-B106-6119B492F904}">
  <dimension ref="A1:N52"/>
  <sheetViews>
    <sheetView tabSelected="1" topLeftCell="A37" zoomScaleNormal="100" workbookViewId="0">
      <selection activeCell="D55" sqref="D55"/>
    </sheetView>
  </sheetViews>
  <sheetFormatPr baseColWidth="10" defaultRowHeight="15" x14ac:dyDescent="0.25"/>
  <cols>
    <col min="1" max="1" width="14.28515625" customWidth="1"/>
    <col min="2" max="2" width="12.85546875" customWidth="1"/>
    <col min="5" max="6" width="0" hidden="1" customWidth="1"/>
    <col min="7" max="8" width="11.42578125" style="1"/>
    <col min="9" max="9" width="26" customWidth="1"/>
    <col min="10" max="10" width="14.85546875" customWidth="1"/>
    <col min="11" max="11" width="21.28515625" customWidth="1"/>
    <col min="12" max="12" width="18.28515625" customWidth="1"/>
    <col min="13" max="13" width="12.7109375" style="2" customWidth="1"/>
    <col min="14" max="14" width="31.28515625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7"/>
    </row>
    <row r="2" spans="1:14" x14ac:dyDescent="0.25">
      <c r="A2" s="3" t="s">
        <v>13</v>
      </c>
      <c r="B2" s="3" t="s">
        <v>14</v>
      </c>
      <c r="C2" s="3" t="s">
        <v>15</v>
      </c>
      <c r="D2" s="3" t="s">
        <v>16</v>
      </c>
      <c r="E2" s="5">
        <v>45933</v>
      </c>
      <c r="F2" s="5">
        <v>45962</v>
      </c>
      <c r="G2" s="4" t="s">
        <v>17</v>
      </c>
      <c r="H2" s="4" t="s">
        <v>18</v>
      </c>
      <c r="I2" s="3">
        <v>0</v>
      </c>
      <c r="J2" s="3" t="s">
        <v>19</v>
      </c>
      <c r="K2" s="3" t="s">
        <v>20</v>
      </c>
      <c r="L2" s="3" t="s">
        <v>20</v>
      </c>
      <c r="M2" s="10" t="s">
        <v>21</v>
      </c>
      <c r="N2" s="3"/>
    </row>
    <row r="3" spans="1:14" x14ac:dyDescent="0.25">
      <c r="A3" s="3" t="s">
        <v>22</v>
      </c>
      <c r="B3" s="3" t="s">
        <v>23</v>
      </c>
      <c r="C3" s="3" t="s">
        <v>15</v>
      </c>
      <c r="D3" s="3" t="s">
        <v>24</v>
      </c>
      <c r="E3" s="5">
        <v>45913</v>
      </c>
      <c r="F3" s="5">
        <v>45962</v>
      </c>
      <c r="G3" s="4" t="s">
        <v>25</v>
      </c>
      <c r="H3" s="4" t="s">
        <v>26</v>
      </c>
      <c r="I3" s="3" t="s">
        <v>27</v>
      </c>
      <c r="J3" s="3" t="s">
        <v>28</v>
      </c>
      <c r="K3" s="3" t="s">
        <v>20</v>
      </c>
      <c r="L3" s="3" t="s">
        <v>19</v>
      </c>
      <c r="M3" s="10" t="s">
        <v>29</v>
      </c>
      <c r="N3" s="3"/>
    </row>
    <row r="4" spans="1:14" ht="210" x14ac:dyDescent="0.25">
      <c r="A4" s="3" t="s">
        <v>30</v>
      </c>
      <c r="B4" s="3" t="s">
        <v>31</v>
      </c>
      <c r="C4" s="3" t="s">
        <v>32</v>
      </c>
      <c r="D4" s="3" t="s">
        <v>33</v>
      </c>
      <c r="E4" s="5">
        <v>45912</v>
      </c>
      <c r="F4" s="5">
        <v>45964</v>
      </c>
      <c r="G4" s="4" t="s">
        <v>34</v>
      </c>
      <c r="H4" s="4" t="s">
        <v>35</v>
      </c>
      <c r="I4" s="6" t="s">
        <v>36</v>
      </c>
      <c r="J4" s="3" t="s">
        <v>37</v>
      </c>
      <c r="K4" s="3" t="s">
        <v>28</v>
      </c>
      <c r="L4" s="3" t="s">
        <v>38</v>
      </c>
      <c r="M4" s="10" t="s">
        <v>39</v>
      </c>
      <c r="N4" s="3"/>
    </row>
    <row r="5" spans="1:14" x14ac:dyDescent="0.25">
      <c r="A5" s="3" t="s">
        <v>40</v>
      </c>
      <c r="B5" s="3" t="s">
        <v>41</v>
      </c>
      <c r="C5" s="3" t="s">
        <v>15</v>
      </c>
      <c r="D5" s="3" t="s">
        <v>42</v>
      </c>
      <c r="E5" s="5">
        <v>45962</v>
      </c>
      <c r="F5" s="5">
        <v>45965</v>
      </c>
      <c r="G5" s="4" t="s">
        <v>43</v>
      </c>
      <c r="H5" s="4" t="s">
        <v>44</v>
      </c>
      <c r="I5" s="3">
        <v>0</v>
      </c>
      <c r="J5" s="3" t="s">
        <v>19</v>
      </c>
      <c r="K5" s="3" t="s">
        <v>20</v>
      </c>
      <c r="L5" s="3" t="s">
        <v>28</v>
      </c>
      <c r="M5" s="10" t="s">
        <v>45</v>
      </c>
      <c r="N5" s="3"/>
    </row>
    <row r="6" spans="1:14" ht="255" x14ac:dyDescent="0.25">
      <c r="A6" s="3" t="s">
        <v>46</v>
      </c>
      <c r="B6" s="3" t="s">
        <v>47</v>
      </c>
      <c r="C6" s="3" t="s">
        <v>48</v>
      </c>
      <c r="D6" s="3" t="s">
        <v>49</v>
      </c>
      <c r="E6" s="5">
        <v>45988</v>
      </c>
      <c r="F6" s="5">
        <v>45965</v>
      </c>
      <c r="G6" s="4" t="s">
        <v>50</v>
      </c>
      <c r="H6" s="4" t="s">
        <v>35</v>
      </c>
      <c r="I6" s="6" t="s">
        <v>51</v>
      </c>
      <c r="J6" s="3" t="s">
        <v>52</v>
      </c>
      <c r="K6" s="3" t="s">
        <v>38</v>
      </c>
      <c r="L6" s="3" t="s">
        <v>20</v>
      </c>
      <c r="M6" s="10" t="s">
        <v>53</v>
      </c>
      <c r="N6" s="3"/>
    </row>
    <row r="7" spans="1:14" ht="45" x14ac:dyDescent="0.25">
      <c r="A7" s="3" t="s">
        <v>30</v>
      </c>
      <c r="B7" s="3" t="s">
        <v>54</v>
      </c>
      <c r="C7" s="3" t="s">
        <v>15</v>
      </c>
      <c r="D7" s="3" t="s">
        <v>55</v>
      </c>
      <c r="E7" s="5">
        <v>45937</v>
      </c>
      <c r="F7" s="5">
        <v>45966</v>
      </c>
      <c r="G7" s="4" t="s">
        <v>50</v>
      </c>
      <c r="H7" s="4" t="s">
        <v>56</v>
      </c>
      <c r="I7" s="6" t="s">
        <v>57</v>
      </c>
      <c r="J7" s="3" t="s">
        <v>58</v>
      </c>
      <c r="K7" s="3" t="s">
        <v>20</v>
      </c>
      <c r="L7" s="3" t="s">
        <v>20</v>
      </c>
      <c r="M7" s="10" t="s">
        <v>59</v>
      </c>
      <c r="N7" s="3"/>
    </row>
    <row r="8" spans="1:14" x14ac:dyDescent="0.25">
      <c r="A8" s="3" t="s">
        <v>60</v>
      </c>
      <c r="B8" s="3" t="s">
        <v>61</v>
      </c>
      <c r="C8" s="3" t="s">
        <v>62</v>
      </c>
      <c r="D8" s="3" t="s">
        <v>63</v>
      </c>
      <c r="E8" s="5">
        <v>45918</v>
      </c>
      <c r="F8" s="5">
        <v>45967</v>
      </c>
      <c r="G8" s="4" t="s">
        <v>64</v>
      </c>
      <c r="H8" s="4" t="s">
        <v>65</v>
      </c>
      <c r="I8" s="3" t="s">
        <v>66</v>
      </c>
      <c r="J8" s="3" t="s">
        <v>67</v>
      </c>
      <c r="K8" s="3" t="s">
        <v>28</v>
      </c>
      <c r="L8" s="3" t="s">
        <v>20</v>
      </c>
      <c r="M8" s="10" t="s">
        <v>68</v>
      </c>
      <c r="N8" s="3"/>
    </row>
    <row r="9" spans="1:14" x14ac:dyDescent="0.25">
      <c r="A9" s="3" t="s">
        <v>30</v>
      </c>
      <c r="B9" s="3" t="s">
        <v>69</v>
      </c>
      <c r="C9" s="3" t="s">
        <v>70</v>
      </c>
      <c r="D9" s="3" t="s">
        <v>71</v>
      </c>
      <c r="E9" s="5">
        <v>45988</v>
      </c>
      <c r="F9" s="5">
        <v>45967</v>
      </c>
      <c r="G9" s="4" t="s">
        <v>72</v>
      </c>
      <c r="H9" s="4" t="s">
        <v>26</v>
      </c>
      <c r="I9" s="3" t="s">
        <v>73</v>
      </c>
      <c r="J9" s="3" t="s">
        <v>74</v>
      </c>
      <c r="K9" s="3" t="s">
        <v>38</v>
      </c>
      <c r="L9" s="3" t="s">
        <v>38</v>
      </c>
      <c r="M9" s="10" t="s">
        <v>21</v>
      </c>
      <c r="N9" s="3"/>
    </row>
    <row r="10" spans="1:14" x14ac:dyDescent="0.25">
      <c r="A10" s="3" t="s">
        <v>75</v>
      </c>
      <c r="B10" s="3" t="s">
        <v>76</v>
      </c>
      <c r="C10" s="3" t="s">
        <v>48</v>
      </c>
      <c r="D10" s="3" t="s">
        <v>77</v>
      </c>
      <c r="E10" s="5">
        <v>45967</v>
      </c>
      <c r="F10" s="5">
        <v>45976</v>
      </c>
      <c r="G10" s="4" t="s">
        <v>50</v>
      </c>
      <c r="H10" s="4" t="s">
        <v>35</v>
      </c>
      <c r="I10" s="3">
        <v>0</v>
      </c>
      <c r="J10" s="3" t="s">
        <v>19</v>
      </c>
      <c r="K10" s="3" t="s">
        <v>20</v>
      </c>
      <c r="L10" s="3" t="s">
        <v>20</v>
      </c>
      <c r="M10" s="10" t="s">
        <v>78</v>
      </c>
      <c r="N10" s="3"/>
    </row>
    <row r="11" spans="1:14" x14ac:dyDescent="0.25">
      <c r="A11" s="11" t="s">
        <v>79</v>
      </c>
      <c r="B11" s="11" t="s">
        <v>80</v>
      </c>
      <c r="C11" s="11" t="s">
        <v>32</v>
      </c>
      <c r="D11" s="11" t="s">
        <v>81</v>
      </c>
      <c r="E11" s="12">
        <v>45968</v>
      </c>
      <c r="F11" s="12">
        <v>45975</v>
      </c>
      <c r="G11" s="13" t="s">
        <v>82</v>
      </c>
      <c r="H11" s="13" t="s">
        <v>19</v>
      </c>
      <c r="I11" s="11">
        <v>0</v>
      </c>
      <c r="J11" s="11" t="s">
        <v>19</v>
      </c>
      <c r="K11" s="11" t="s">
        <v>28</v>
      </c>
      <c r="L11" s="11" t="s">
        <v>38</v>
      </c>
      <c r="M11" s="14" t="s">
        <v>19</v>
      </c>
      <c r="N11" s="11" t="s">
        <v>83</v>
      </c>
    </row>
    <row r="12" spans="1:14" x14ac:dyDescent="0.25">
      <c r="A12" s="3" t="s">
        <v>30</v>
      </c>
      <c r="B12" s="3" t="s">
        <v>84</v>
      </c>
      <c r="C12" s="3" t="s">
        <v>70</v>
      </c>
      <c r="D12" s="3" t="s">
        <v>85</v>
      </c>
      <c r="E12" s="5">
        <v>45968</v>
      </c>
      <c r="F12" s="5">
        <v>45969</v>
      </c>
      <c r="G12" s="4" t="s">
        <v>86</v>
      </c>
      <c r="H12" s="4" t="s">
        <v>87</v>
      </c>
      <c r="I12" s="3">
        <v>0</v>
      </c>
      <c r="J12" s="3" t="s">
        <v>19</v>
      </c>
      <c r="K12" s="3" t="s">
        <v>28</v>
      </c>
      <c r="L12" s="3" t="s">
        <v>20</v>
      </c>
      <c r="M12" s="10" t="s">
        <v>88</v>
      </c>
      <c r="N12" s="3"/>
    </row>
    <row r="13" spans="1:14" ht="60" x14ac:dyDescent="0.25">
      <c r="A13" s="3" t="s">
        <v>30</v>
      </c>
      <c r="B13" s="3" t="s">
        <v>89</v>
      </c>
      <c r="C13" s="3" t="s">
        <v>90</v>
      </c>
      <c r="D13" s="3" t="s">
        <v>91</v>
      </c>
      <c r="E13" s="5">
        <v>45964</v>
      </c>
      <c r="F13" s="5">
        <v>45968</v>
      </c>
      <c r="G13" s="4" t="s">
        <v>92</v>
      </c>
      <c r="H13" s="4" t="s">
        <v>93</v>
      </c>
      <c r="I13" s="6" t="s">
        <v>94</v>
      </c>
      <c r="J13" s="3" t="s">
        <v>28</v>
      </c>
      <c r="K13" s="3" t="s">
        <v>19</v>
      </c>
      <c r="L13" s="3" t="s">
        <v>19</v>
      </c>
      <c r="M13" s="10" t="s">
        <v>95</v>
      </c>
      <c r="N13" s="3"/>
    </row>
    <row r="14" spans="1:14" x14ac:dyDescent="0.25">
      <c r="A14" s="3" t="s">
        <v>30</v>
      </c>
      <c r="B14" s="3" t="s">
        <v>96</v>
      </c>
      <c r="C14" s="3" t="s">
        <v>97</v>
      </c>
      <c r="D14" s="3" t="s">
        <v>98</v>
      </c>
      <c r="E14" s="5">
        <v>45970</v>
      </c>
      <c r="F14" s="5">
        <v>45971</v>
      </c>
      <c r="G14" s="4" t="s">
        <v>99</v>
      </c>
      <c r="H14" s="4" t="s">
        <v>100</v>
      </c>
      <c r="I14" s="3">
        <v>0</v>
      </c>
      <c r="J14" s="3" t="s">
        <v>19</v>
      </c>
      <c r="K14" s="3" t="s">
        <v>38</v>
      </c>
      <c r="L14" s="3" t="s">
        <v>20</v>
      </c>
      <c r="M14" s="10" t="s">
        <v>101</v>
      </c>
      <c r="N14" s="3"/>
    </row>
    <row r="15" spans="1:14" x14ac:dyDescent="0.25">
      <c r="A15" s="3" t="s">
        <v>102</v>
      </c>
      <c r="B15" s="3" t="s">
        <v>103</v>
      </c>
      <c r="C15" s="3" t="s">
        <v>97</v>
      </c>
      <c r="D15" s="3" t="s">
        <v>104</v>
      </c>
      <c r="E15" s="5">
        <v>45972</v>
      </c>
      <c r="F15" s="5">
        <v>45972</v>
      </c>
      <c r="G15" s="4" t="s">
        <v>105</v>
      </c>
      <c r="H15" s="4" t="s">
        <v>106</v>
      </c>
      <c r="I15" s="3">
        <v>0</v>
      </c>
      <c r="J15" s="3" t="s">
        <v>19</v>
      </c>
      <c r="K15" s="3" t="s">
        <v>38</v>
      </c>
      <c r="L15" s="3" t="s">
        <v>38</v>
      </c>
      <c r="M15" s="10" t="s">
        <v>107</v>
      </c>
      <c r="N15" s="3"/>
    </row>
    <row r="16" spans="1:14" x14ac:dyDescent="0.25">
      <c r="A16" s="11" t="s">
        <v>108</v>
      </c>
      <c r="B16" s="11" t="s">
        <v>109</v>
      </c>
      <c r="C16" s="11" t="s">
        <v>97</v>
      </c>
      <c r="D16" s="11" t="s">
        <v>110</v>
      </c>
      <c r="E16" s="12">
        <v>45975</v>
      </c>
      <c r="F16" s="12">
        <v>45976</v>
      </c>
      <c r="G16" s="13" t="s">
        <v>19</v>
      </c>
      <c r="H16" s="13" t="s">
        <v>111</v>
      </c>
      <c r="I16" s="11">
        <v>0</v>
      </c>
      <c r="J16" s="11" t="s">
        <v>19</v>
      </c>
      <c r="K16" s="11" t="s">
        <v>19</v>
      </c>
      <c r="L16" s="11" t="s">
        <v>38</v>
      </c>
      <c r="M16" s="14" t="s">
        <v>112</v>
      </c>
      <c r="N16" s="11" t="s">
        <v>83</v>
      </c>
    </row>
    <row r="17" spans="1:14" x14ac:dyDescent="0.25">
      <c r="A17" s="3" t="s">
        <v>22</v>
      </c>
      <c r="B17" s="3" t="s">
        <v>113</v>
      </c>
      <c r="C17" s="3" t="s">
        <v>90</v>
      </c>
      <c r="D17" s="3" t="s">
        <v>114</v>
      </c>
      <c r="E17" s="5">
        <v>45976</v>
      </c>
      <c r="F17" s="5">
        <v>45976</v>
      </c>
      <c r="G17" s="4" t="s">
        <v>43</v>
      </c>
      <c r="H17" s="4" t="s">
        <v>115</v>
      </c>
      <c r="I17" s="3">
        <v>0</v>
      </c>
      <c r="J17" s="3" t="s">
        <v>19</v>
      </c>
      <c r="K17" s="3" t="s">
        <v>38</v>
      </c>
      <c r="L17" s="3" t="s">
        <v>38</v>
      </c>
      <c r="M17" s="10" t="s">
        <v>116</v>
      </c>
      <c r="N17" s="3"/>
    </row>
    <row r="18" spans="1:14" x14ac:dyDescent="0.25">
      <c r="A18" s="3" t="s">
        <v>117</v>
      </c>
      <c r="B18" s="3" t="s">
        <v>118</v>
      </c>
      <c r="C18" s="3" t="s">
        <v>119</v>
      </c>
      <c r="D18" s="3" t="s">
        <v>120</v>
      </c>
      <c r="E18" s="5">
        <v>45964</v>
      </c>
      <c r="F18" s="5">
        <v>45980</v>
      </c>
      <c r="G18" s="4" t="s">
        <v>17</v>
      </c>
      <c r="H18" s="4" t="s">
        <v>121</v>
      </c>
      <c r="I18" s="3">
        <v>0</v>
      </c>
      <c r="J18" s="3" t="s">
        <v>19</v>
      </c>
      <c r="K18" s="3" t="s">
        <v>38</v>
      </c>
      <c r="L18" s="3" t="s">
        <v>38</v>
      </c>
      <c r="M18" s="10" t="s">
        <v>122</v>
      </c>
      <c r="N18" s="3"/>
    </row>
    <row r="19" spans="1:14" x14ac:dyDescent="0.25">
      <c r="A19" s="11" t="s">
        <v>40</v>
      </c>
      <c r="B19" s="11" t="s">
        <v>123</v>
      </c>
      <c r="C19" s="11" t="s">
        <v>15</v>
      </c>
      <c r="D19" s="11" t="s">
        <v>124</v>
      </c>
      <c r="E19" s="12">
        <v>45978</v>
      </c>
      <c r="F19" s="12">
        <v>45980</v>
      </c>
      <c r="G19" s="13" t="s">
        <v>19</v>
      </c>
      <c r="H19" s="13" t="s">
        <v>19</v>
      </c>
      <c r="I19" s="11">
        <v>0</v>
      </c>
      <c r="J19" s="11" t="s">
        <v>19</v>
      </c>
      <c r="K19" s="11" t="s">
        <v>19</v>
      </c>
      <c r="L19" s="11" t="s">
        <v>38</v>
      </c>
      <c r="M19" s="14" t="s">
        <v>19</v>
      </c>
      <c r="N19" s="11" t="s">
        <v>125</v>
      </c>
    </row>
    <row r="20" spans="1:14" x14ac:dyDescent="0.25">
      <c r="A20" s="11" t="s">
        <v>126</v>
      </c>
      <c r="B20" s="11" t="s">
        <v>127</v>
      </c>
      <c r="C20" s="11" t="s">
        <v>97</v>
      </c>
      <c r="D20" s="11" t="s">
        <v>128</v>
      </c>
      <c r="E20" s="12">
        <v>45994</v>
      </c>
      <c r="F20" s="12">
        <v>45978</v>
      </c>
      <c r="G20" s="13" t="s">
        <v>19</v>
      </c>
      <c r="H20" s="13" t="s">
        <v>19</v>
      </c>
      <c r="I20" s="11">
        <v>0</v>
      </c>
      <c r="J20" s="11" t="s">
        <v>19</v>
      </c>
      <c r="K20" s="11" t="s">
        <v>19</v>
      </c>
      <c r="L20" s="11" t="s">
        <v>38</v>
      </c>
      <c r="M20" s="14" t="s">
        <v>19</v>
      </c>
      <c r="N20" s="11" t="s">
        <v>129</v>
      </c>
    </row>
    <row r="21" spans="1:14" x14ac:dyDescent="0.25">
      <c r="A21" s="3" t="s">
        <v>102</v>
      </c>
      <c r="B21" s="3" t="s">
        <v>130</v>
      </c>
      <c r="C21" s="3" t="s">
        <v>70</v>
      </c>
      <c r="D21" s="3" t="s">
        <v>131</v>
      </c>
      <c r="E21" s="5">
        <v>45928</v>
      </c>
      <c r="F21" s="5">
        <v>45978</v>
      </c>
      <c r="G21" s="4" t="s">
        <v>35</v>
      </c>
      <c r="H21" s="4" t="s">
        <v>132</v>
      </c>
      <c r="I21" s="3">
        <v>0</v>
      </c>
      <c r="J21" s="3" t="s">
        <v>19</v>
      </c>
      <c r="K21" s="3" t="s">
        <v>38</v>
      </c>
      <c r="L21" s="3" t="s">
        <v>38</v>
      </c>
      <c r="M21" s="10" t="s">
        <v>21</v>
      </c>
      <c r="N21" s="3"/>
    </row>
    <row r="22" spans="1:14" x14ac:dyDescent="0.25">
      <c r="A22" s="11" t="s">
        <v>40</v>
      </c>
      <c r="B22" s="11" t="s">
        <v>133</v>
      </c>
      <c r="C22" s="11" t="s">
        <v>134</v>
      </c>
      <c r="D22" s="11" t="s">
        <v>135</v>
      </c>
      <c r="E22" s="12">
        <v>45979</v>
      </c>
      <c r="F22" s="12">
        <v>45979</v>
      </c>
      <c r="G22" s="13" t="s">
        <v>19</v>
      </c>
      <c r="H22" s="13" t="s">
        <v>19</v>
      </c>
      <c r="I22" s="11" t="s">
        <v>136</v>
      </c>
      <c r="J22" s="11" t="s">
        <v>137</v>
      </c>
      <c r="K22" s="11" t="s">
        <v>19</v>
      </c>
      <c r="L22" s="11" t="s">
        <v>38</v>
      </c>
      <c r="M22" s="14" t="s">
        <v>19</v>
      </c>
      <c r="N22" s="11" t="s">
        <v>138</v>
      </c>
    </row>
    <row r="23" spans="1:14" ht="75" x14ac:dyDescent="0.25">
      <c r="A23" s="3" t="s">
        <v>30</v>
      </c>
      <c r="B23" s="3" t="s">
        <v>139</v>
      </c>
      <c r="C23" s="3" t="s">
        <v>140</v>
      </c>
      <c r="D23" s="3" t="s">
        <v>141</v>
      </c>
      <c r="E23" s="5">
        <v>45956</v>
      </c>
      <c r="F23" s="5">
        <v>45979</v>
      </c>
      <c r="G23" s="4" t="s">
        <v>142</v>
      </c>
      <c r="H23" s="4" t="s">
        <v>143</v>
      </c>
      <c r="I23" s="6" t="s">
        <v>144</v>
      </c>
      <c r="J23" s="3" t="s">
        <v>145</v>
      </c>
      <c r="K23" s="3" t="s">
        <v>38</v>
      </c>
      <c r="L23" s="3" t="s">
        <v>19</v>
      </c>
      <c r="M23" s="10" t="s">
        <v>146</v>
      </c>
      <c r="N23" s="3"/>
    </row>
    <row r="24" spans="1:14" x14ac:dyDescent="0.25">
      <c r="A24" s="11" t="s">
        <v>60</v>
      </c>
      <c r="B24" s="11" t="s">
        <v>147</v>
      </c>
      <c r="C24" s="11" t="s">
        <v>97</v>
      </c>
      <c r="D24" s="11" t="s">
        <v>148</v>
      </c>
      <c r="E24" s="12">
        <v>45979</v>
      </c>
      <c r="F24" s="12">
        <v>45979</v>
      </c>
      <c r="G24" s="13" t="s">
        <v>149</v>
      </c>
      <c r="H24" s="13" t="s">
        <v>150</v>
      </c>
      <c r="I24" s="11">
        <v>0</v>
      </c>
      <c r="J24" s="11" t="s">
        <v>19</v>
      </c>
      <c r="K24" s="11" t="s">
        <v>19</v>
      </c>
      <c r="L24" s="11" t="s">
        <v>38</v>
      </c>
      <c r="M24" s="14" t="s">
        <v>151</v>
      </c>
      <c r="N24" s="11" t="s">
        <v>152</v>
      </c>
    </row>
    <row r="25" spans="1:14" ht="45" x14ac:dyDescent="0.25">
      <c r="A25" s="3" t="s">
        <v>22</v>
      </c>
      <c r="B25" s="3" t="s">
        <v>153</v>
      </c>
      <c r="C25" s="3" t="s">
        <v>15</v>
      </c>
      <c r="D25" s="3" t="s">
        <v>154</v>
      </c>
      <c r="E25" s="5">
        <v>45975</v>
      </c>
      <c r="F25" s="5">
        <v>45980</v>
      </c>
      <c r="G25" s="4" t="s">
        <v>34</v>
      </c>
      <c r="H25" s="4" t="s">
        <v>50</v>
      </c>
      <c r="I25" s="6" t="s">
        <v>155</v>
      </c>
      <c r="J25" s="3" t="s">
        <v>156</v>
      </c>
      <c r="K25" s="3" t="s">
        <v>20</v>
      </c>
      <c r="L25" s="3" t="s">
        <v>20</v>
      </c>
      <c r="M25" s="10" t="s">
        <v>157</v>
      </c>
      <c r="N25" s="3"/>
    </row>
    <row r="26" spans="1:14" ht="30" x14ac:dyDescent="0.25">
      <c r="A26" s="3" t="s">
        <v>30</v>
      </c>
      <c r="B26" s="3" t="s">
        <v>158</v>
      </c>
      <c r="C26" s="3" t="s">
        <v>70</v>
      </c>
      <c r="D26" s="3" t="s">
        <v>159</v>
      </c>
      <c r="E26" s="5">
        <v>45972</v>
      </c>
      <c r="F26" s="5">
        <v>45982</v>
      </c>
      <c r="G26" s="4" t="s">
        <v>160</v>
      </c>
      <c r="H26" s="4" t="s">
        <v>161</v>
      </c>
      <c r="I26" s="6" t="s">
        <v>162</v>
      </c>
      <c r="J26" s="3" t="s">
        <v>163</v>
      </c>
      <c r="K26" s="3" t="s">
        <v>38</v>
      </c>
      <c r="L26" s="3" t="s">
        <v>38</v>
      </c>
      <c r="M26" s="10" t="s">
        <v>164</v>
      </c>
      <c r="N26" s="3"/>
    </row>
    <row r="27" spans="1:14" x14ac:dyDescent="0.25">
      <c r="A27" s="3" t="s">
        <v>165</v>
      </c>
      <c r="B27" s="3" t="s">
        <v>166</v>
      </c>
      <c r="C27" s="3" t="s">
        <v>70</v>
      </c>
      <c r="D27" s="3" t="s">
        <v>167</v>
      </c>
      <c r="E27" s="5">
        <v>45979</v>
      </c>
      <c r="F27" s="5">
        <v>45986</v>
      </c>
      <c r="G27" s="4" t="s">
        <v>168</v>
      </c>
      <c r="H27" s="4" t="s">
        <v>64</v>
      </c>
      <c r="I27" s="3">
        <v>0</v>
      </c>
      <c r="J27" s="3" t="s">
        <v>19</v>
      </c>
      <c r="K27" s="3" t="s">
        <v>38</v>
      </c>
      <c r="L27" s="3" t="s">
        <v>19</v>
      </c>
      <c r="M27" s="10" t="s">
        <v>169</v>
      </c>
      <c r="N27" s="3"/>
    </row>
    <row r="28" spans="1:14" x14ac:dyDescent="0.25">
      <c r="A28" s="3" t="s">
        <v>170</v>
      </c>
      <c r="B28" s="3" t="s">
        <v>171</v>
      </c>
      <c r="C28" s="3" t="s">
        <v>32</v>
      </c>
      <c r="D28" s="3" t="s">
        <v>172</v>
      </c>
      <c r="E28" s="5">
        <v>45986</v>
      </c>
      <c r="F28" s="5">
        <v>45987</v>
      </c>
      <c r="G28" s="4" t="s">
        <v>173</v>
      </c>
      <c r="H28" s="4" t="s">
        <v>174</v>
      </c>
      <c r="I28" s="3"/>
      <c r="J28" s="3" t="s">
        <v>19</v>
      </c>
      <c r="K28" s="3" t="s">
        <v>38</v>
      </c>
      <c r="L28" s="3" t="s">
        <v>20</v>
      </c>
      <c r="M28" s="10" t="s">
        <v>175</v>
      </c>
      <c r="N28" s="3"/>
    </row>
    <row r="29" spans="1:14" x14ac:dyDescent="0.25">
      <c r="A29" s="3" t="s">
        <v>165</v>
      </c>
      <c r="B29" s="3" t="s">
        <v>176</v>
      </c>
      <c r="C29" s="3" t="s">
        <v>97</v>
      </c>
      <c r="D29" s="3" t="s">
        <v>177</v>
      </c>
      <c r="E29" s="5">
        <v>45990</v>
      </c>
      <c r="F29" s="5">
        <v>45990</v>
      </c>
      <c r="G29" s="4" t="s">
        <v>178</v>
      </c>
      <c r="H29" s="4" t="s">
        <v>179</v>
      </c>
      <c r="I29" s="3">
        <v>0</v>
      </c>
      <c r="J29" s="3" t="s">
        <v>19</v>
      </c>
      <c r="K29" s="3" t="s">
        <v>38</v>
      </c>
      <c r="L29" s="3" t="s">
        <v>20</v>
      </c>
      <c r="M29" s="10" t="s">
        <v>45</v>
      </c>
      <c r="N29" s="3"/>
    </row>
    <row r="30" spans="1:14" x14ac:dyDescent="0.25">
      <c r="A30" s="3" t="s">
        <v>165</v>
      </c>
      <c r="B30" s="3" t="s">
        <v>180</v>
      </c>
      <c r="C30" s="3" t="s">
        <v>48</v>
      </c>
      <c r="D30" s="3" t="s">
        <v>181</v>
      </c>
      <c r="E30" s="5">
        <v>45981</v>
      </c>
      <c r="F30" s="5">
        <v>45991</v>
      </c>
      <c r="G30" s="4" t="s">
        <v>150</v>
      </c>
      <c r="H30" s="4" t="s">
        <v>182</v>
      </c>
      <c r="I30" s="3">
        <v>0</v>
      </c>
      <c r="J30" s="3" t="s">
        <v>19</v>
      </c>
      <c r="K30" s="3" t="s">
        <v>19</v>
      </c>
      <c r="L30" s="3" t="s">
        <v>20</v>
      </c>
      <c r="M30" s="10" t="s">
        <v>183</v>
      </c>
      <c r="N30" s="3"/>
    </row>
    <row r="31" spans="1:14" x14ac:dyDescent="0.25">
      <c r="A31" s="11" t="s">
        <v>46</v>
      </c>
      <c r="B31" s="11" t="s">
        <v>184</v>
      </c>
      <c r="C31" s="11" t="s">
        <v>97</v>
      </c>
      <c r="D31" s="11" t="s">
        <v>185</v>
      </c>
      <c r="E31" s="12">
        <v>45981</v>
      </c>
      <c r="F31" s="12">
        <v>45990</v>
      </c>
      <c r="G31" s="13" t="s">
        <v>150</v>
      </c>
      <c r="H31" s="13" t="s">
        <v>186</v>
      </c>
      <c r="I31" s="11">
        <v>0</v>
      </c>
      <c r="J31" s="11" t="s">
        <v>19</v>
      </c>
      <c r="K31" s="11" t="s">
        <v>19</v>
      </c>
      <c r="L31" s="11" t="s">
        <v>20</v>
      </c>
      <c r="M31" s="14" t="s">
        <v>187</v>
      </c>
      <c r="N31" s="11" t="s">
        <v>188</v>
      </c>
    </row>
    <row r="32" spans="1:14" x14ac:dyDescent="0.25">
      <c r="A32" s="3" t="s">
        <v>165</v>
      </c>
      <c r="B32" s="3" t="s">
        <v>189</v>
      </c>
      <c r="C32" s="3" t="s">
        <v>134</v>
      </c>
      <c r="D32" s="3" t="s">
        <v>190</v>
      </c>
      <c r="E32" s="5">
        <v>45978</v>
      </c>
      <c r="F32" s="5">
        <v>45986</v>
      </c>
      <c r="G32" s="4" t="s">
        <v>34</v>
      </c>
      <c r="H32" s="4" t="s">
        <v>64</v>
      </c>
      <c r="I32" s="3" t="s">
        <v>191</v>
      </c>
      <c r="J32" s="3" t="s">
        <v>192</v>
      </c>
      <c r="K32" s="3" t="s">
        <v>38</v>
      </c>
      <c r="L32" s="3" t="s">
        <v>38</v>
      </c>
      <c r="M32" s="10" t="s">
        <v>193</v>
      </c>
      <c r="N32" s="3"/>
    </row>
    <row r="33" spans="1:14" ht="30" x14ac:dyDescent="0.25">
      <c r="A33" s="11" t="s">
        <v>22</v>
      </c>
      <c r="B33" s="11" t="s">
        <v>194</v>
      </c>
      <c r="C33" s="11" t="s">
        <v>15</v>
      </c>
      <c r="D33" s="11" t="s">
        <v>195</v>
      </c>
      <c r="E33" s="12">
        <v>45995</v>
      </c>
      <c r="F33" s="12">
        <v>45990</v>
      </c>
      <c r="G33" s="13" t="s">
        <v>35</v>
      </c>
      <c r="H33" s="13" t="s">
        <v>196</v>
      </c>
      <c r="I33" s="11">
        <v>0</v>
      </c>
      <c r="J33" s="11" t="s">
        <v>19</v>
      </c>
      <c r="K33" s="11" t="s">
        <v>20</v>
      </c>
      <c r="L33" s="11" t="s">
        <v>28</v>
      </c>
      <c r="M33" s="14" t="s">
        <v>197</v>
      </c>
      <c r="N33" s="15" t="s">
        <v>198</v>
      </c>
    </row>
    <row r="34" spans="1:14" ht="330" x14ac:dyDescent="0.25">
      <c r="A34" s="3" t="s">
        <v>199</v>
      </c>
      <c r="B34" s="3" t="s">
        <v>200</v>
      </c>
      <c r="C34" s="3"/>
      <c r="D34" s="3" t="s">
        <v>201</v>
      </c>
      <c r="E34" s="5">
        <v>45995</v>
      </c>
      <c r="F34" s="3" t="s">
        <v>202</v>
      </c>
      <c r="G34" s="4" t="s">
        <v>203</v>
      </c>
      <c r="H34" s="4" t="s">
        <v>204</v>
      </c>
      <c r="I34" s="6" t="s">
        <v>205</v>
      </c>
      <c r="J34" s="3" t="s">
        <v>206</v>
      </c>
      <c r="K34" s="3" t="s">
        <v>207</v>
      </c>
      <c r="L34" s="3" t="s">
        <v>208</v>
      </c>
      <c r="M34" s="10" t="s">
        <v>209</v>
      </c>
      <c r="N34" s="3"/>
    </row>
    <row r="35" spans="1:14" x14ac:dyDescent="0.25">
      <c r="A35" s="3" t="s">
        <v>210</v>
      </c>
      <c r="B35" s="3" t="s">
        <v>211</v>
      </c>
      <c r="C35" s="3" t="s">
        <v>62</v>
      </c>
      <c r="D35" s="3" t="s">
        <v>212</v>
      </c>
      <c r="E35" s="3"/>
      <c r="F35" s="3"/>
      <c r="G35" s="4" t="s">
        <v>83</v>
      </c>
      <c r="H35" s="4">
        <v>4700</v>
      </c>
      <c r="I35" s="3">
        <v>0</v>
      </c>
      <c r="J35" s="3">
        <v>0</v>
      </c>
      <c r="K35" s="3">
        <v>0</v>
      </c>
      <c r="L35" s="3">
        <v>25</v>
      </c>
      <c r="M35" s="10">
        <v>225</v>
      </c>
      <c r="N35" s="3"/>
    </row>
    <row r="36" spans="1:14" x14ac:dyDescent="0.25">
      <c r="A36" s="3" t="s">
        <v>40</v>
      </c>
      <c r="B36" s="3" t="s">
        <v>213</v>
      </c>
      <c r="C36" s="3" t="s">
        <v>70</v>
      </c>
      <c r="D36" s="3" t="s">
        <v>214</v>
      </c>
      <c r="E36" s="3"/>
      <c r="F36" s="3"/>
      <c r="G36" s="4">
        <v>3400</v>
      </c>
      <c r="H36" s="4">
        <v>4700</v>
      </c>
      <c r="I36" s="3">
        <v>0</v>
      </c>
      <c r="J36" s="3">
        <v>0</v>
      </c>
      <c r="K36" s="3">
        <v>75</v>
      </c>
      <c r="L36" s="3">
        <v>100</v>
      </c>
      <c r="M36" s="10">
        <f>H36-G36-L36-K36</f>
        <v>1125</v>
      </c>
      <c r="N36" s="3"/>
    </row>
    <row r="37" spans="1:14" x14ac:dyDescent="0.25">
      <c r="A37" s="3" t="s">
        <v>165</v>
      </c>
      <c r="B37" s="3" t="s">
        <v>176</v>
      </c>
      <c r="C37" s="3" t="s">
        <v>62</v>
      </c>
      <c r="D37" s="3" t="s">
        <v>215</v>
      </c>
      <c r="E37" s="3"/>
      <c r="F37" s="3"/>
      <c r="G37" s="4">
        <v>5750</v>
      </c>
      <c r="H37" s="4">
        <v>6750</v>
      </c>
      <c r="I37" s="3" t="s">
        <v>233</v>
      </c>
      <c r="J37" s="3">
        <v>15</v>
      </c>
      <c r="K37" s="3">
        <v>75</v>
      </c>
      <c r="L37" s="3">
        <v>0</v>
      </c>
      <c r="M37" s="10">
        <f>H37-G37-J37-K37</f>
        <v>910</v>
      </c>
      <c r="N37" s="3"/>
    </row>
    <row r="38" spans="1:14" ht="30" x14ac:dyDescent="0.25">
      <c r="A38" s="11" t="s">
        <v>30</v>
      </c>
      <c r="B38" s="11" t="s">
        <v>216</v>
      </c>
      <c r="C38" s="11" t="s">
        <v>62</v>
      </c>
      <c r="D38" s="11" t="s">
        <v>217</v>
      </c>
      <c r="E38" s="11"/>
      <c r="F38" s="11"/>
      <c r="G38" s="13" t="s">
        <v>83</v>
      </c>
      <c r="H38" s="13">
        <v>4000</v>
      </c>
      <c r="I38" s="15" t="s">
        <v>218</v>
      </c>
      <c r="J38" s="11">
        <v>40</v>
      </c>
      <c r="K38" s="11" t="s">
        <v>83</v>
      </c>
      <c r="L38" s="11">
        <v>100</v>
      </c>
      <c r="M38" s="14"/>
      <c r="N38" s="11" t="s">
        <v>219</v>
      </c>
    </row>
    <row r="39" spans="1:14" x14ac:dyDescent="0.25">
      <c r="A39" s="3" t="s">
        <v>220</v>
      </c>
      <c r="B39" s="3" t="s">
        <v>221</v>
      </c>
      <c r="C39" s="3" t="s">
        <v>15</v>
      </c>
      <c r="D39" s="3" t="s">
        <v>222</v>
      </c>
      <c r="E39" s="3"/>
      <c r="F39" s="3"/>
      <c r="G39" s="4">
        <v>8000</v>
      </c>
      <c r="H39" s="4">
        <v>9300</v>
      </c>
      <c r="I39" s="3" t="s">
        <v>223</v>
      </c>
      <c r="J39" s="3">
        <v>170</v>
      </c>
      <c r="K39" s="3">
        <v>75</v>
      </c>
      <c r="L39" s="3">
        <v>100</v>
      </c>
      <c r="M39" s="10">
        <f>H39-G39-J39-K39-L39</f>
        <v>955</v>
      </c>
      <c r="N39" s="3"/>
    </row>
    <row r="40" spans="1:14" x14ac:dyDescent="0.25">
      <c r="A40" s="11" t="s">
        <v>224</v>
      </c>
      <c r="B40" s="11" t="s">
        <v>225</v>
      </c>
      <c r="C40" s="11" t="s">
        <v>226</v>
      </c>
      <c r="D40" s="11" t="s">
        <v>227</v>
      </c>
      <c r="E40" s="11"/>
      <c r="F40" s="11"/>
      <c r="G40" s="13" t="s">
        <v>138</v>
      </c>
      <c r="H40" s="13">
        <v>4430</v>
      </c>
      <c r="I40" s="11">
        <v>0</v>
      </c>
      <c r="J40" s="11">
        <v>0</v>
      </c>
      <c r="K40" s="11">
        <v>0</v>
      </c>
      <c r="L40" s="11">
        <v>100</v>
      </c>
      <c r="M40" s="10" t="s">
        <v>138</v>
      </c>
      <c r="N40" s="11"/>
    </row>
    <row r="41" spans="1:14" ht="30" x14ac:dyDescent="0.25">
      <c r="A41" s="3" t="s">
        <v>30</v>
      </c>
      <c r="B41" s="3" t="s">
        <v>228</v>
      </c>
      <c r="C41" s="3" t="s">
        <v>97</v>
      </c>
      <c r="D41" s="3" t="s">
        <v>229</v>
      </c>
      <c r="E41" s="3"/>
      <c r="F41" s="3"/>
      <c r="G41" s="4">
        <v>6000</v>
      </c>
      <c r="H41" s="4">
        <v>6500</v>
      </c>
      <c r="I41" s="6" t="s">
        <v>232</v>
      </c>
      <c r="J41" s="3">
        <f>70+45</f>
        <v>115</v>
      </c>
      <c r="K41" s="3">
        <v>25</v>
      </c>
      <c r="L41" s="3">
        <v>75</v>
      </c>
      <c r="M41" s="10">
        <f>H41-G41-J41-K41-L41</f>
        <v>285</v>
      </c>
      <c r="N41" s="3"/>
    </row>
    <row r="42" spans="1:14" ht="30" x14ac:dyDescent="0.25">
      <c r="A42" s="3" t="s">
        <v>40</v>
      </c>
      <c r="B42" s="3" t="s">
        <v>231</v>
      </c>
      <c r="C42" s="3" t="s">
        <v>62</v>
      </c>
      <c r="D42" s="3" t="s">
        <v>230</v>
      </c>
      <c r="E42" s="3"/>
      <c r="F42" s="3"/>
      <c r="G42" s="4">
        <v>5000</v>
      </c>
      <c r="H42" s="4">
        <v>5600</v>
      </c>
      <c r="I42" s="6" t="s">
        <v>234</v>
      </c>
      <c r="J42" s="3">
        <v>18</v>
      </c>
      <c r="K42" s="3">
        <v>0</v>
      </c>
      <c r="L42" s="3">
        <v>75</v>
      </c>
      <c r="M42" s="10">
        <f>H42-G42-J42-L42</f>
        <v>507</v>
      </c>
      <c r="N42" s="3"/>
    </row>
    <row r="43" spans="1:14" x14ac:dyDescent="0.25">
      <c r="A43" s="11" t="s">
        <v>235</v>
      </c>
      <c r="B43" s="11" t="s">
        <v>236</v>
      </c>
      <c r="C43" s="11" t="s">
        <v>134</v>
      </c>
      <c r="D43" s="11" t="s">
        <v>237</v>
      </c>
      <c r="E43" s="11"/>
      <c r="F43" s="11"/>
      <c r="G43" s="13" t="s">
        <v>138</v>
      </c>
      <c r="H43" s="13">
        <v>2250</v>
      </c>
      <c r="I43" s="11">
        <v>0</v>
      </c>
      <c r="J43" s="11">
        <v>0</v>
      </c>
      <c r="K43" s="11">
        <v>0</v>
      </c>
      <c r="L43" s="11">
        <v>0</v>
      </c>
      <c r="M43" s="14" t="s">
        <v>138</v>
      </c>
      <c r="N43" s="11"/>
    </row>
    <row r="44" spans="1:14" x14ac:dyDescent="0.25">
      <c r="A44" s="11" t="s">
        <v>30</v>
      </c>
      <c r="B44" s="11" t="s">
        <v>238</v>
      </c>
      <c r="C44" s="11" t="s">
        <v>97</v>
      </c>
      <c r="D44" s="11" t="s">
        <v>239</v>
      </c>
      <c r="E44" s="11"/>
      <c r="F44" s="11"/>
      <c r="G44" s="13" t="s">
        <v>138</v>
      </c>
      <c r="H44" s="13"/>
      <c r="I44" s="11">
        <v>0</v>
      </c>
      <c r="J44" s="11">
        <v>0</v>
      </c>
      <c r="K44" s="11"/>
      <c r="L44" s="11">
        <v>100</v>
      </c>
      <c r="M44" s="14" t="s">
        <v>138</v>
      </c>
      <c r="N44" s="11" t="s">
        <v>248</v>
      </c>
    </row>
    <row r="45" spans="1:14" x14ac:dyDescent="0.25">
      <c r="A45" s="11" t="s">
        <v>240</v>
      </c>
      <c r="B45" s="11" t="s">
        <v>241</v>
      </c>
      <c r="C45" s="11" t="s">
        <v>32</v>
      </c>
      <c r="D45" s="11" t="s">
        <v>242</v>
      </c>
      <c r="E45" s="11"/>
      <c r="F45" s="11"/>
      <c r="G45" s="13" t="s">
        <v>243</v>
      </c>
      <c r="H45" s="13">
        <v>6900</v>
      </c>
      <c r="I45" s="11" t="s">
        <v>243</v>
      </c>
      <c r="J45" s="11">
        <v>0</v>
      </c>
      <c r="K45" s="11">
        <v>0</v>
      </c>
      <c r="L45" s="11">
        <v>75</v>
      </c>
      <c r="M45" s="14" t="s">
        <v>243</v>
      </c>
      <c r="N45" s="11" t="s">
        <v>247</v>
      </c>
    </row>
    <row r="46" spans="1:14" x14ac:dyDescent="0.25">
      <c r="A46" s="11" t="s">
        <v>46</v>
      </c>
      <c r="B46" s="11" t="s">
        <v>244</v>
      </c>
      <c r="C46" s="11" t="s">
        <v>48</v>
      </c>
      <c r="D46" s="11" t="s">
        <v>245</v>
      </c>
      <c r="E46" s="11"/>
      <c r="F46" s="11"/>
      <c r="G46" s="13" t="s">
        <v>83</v>
      </c>
      <c r="H46" s="13">
        <v>8900</v>
      </c>
      <c r="I46" s="11">
        <v>0</v>
      </c>
      <c r="J46" s="11">
        <v>0</v>
      </c>
      <c r="K46" s="11">
        <v>0</v>
      </c>
      <c r="L46" s="11">
        <v>25</v>
      </c>
      <c r="M46" s="14" t="s">
        <v>246</v>
      </c>
      <c r="N46" s="11"/>
    </row>
    <row r="49" spans="1:14" x14ac:dyDescent="0.25">
      <c r="A49" s="16" t="s">
        <v>30</v>
      </c>
      <c r="B49" s="16" t="s">
        <v>250</v>
      </c>
      <c r="C49" s="16" t="s">
        <v>70</v>
      </c>
      <c r="D49" s="16" t="s">
        <v>249</v>
      </c>
      <c r="E49" s="17"/>
      <c r="F49" s="17"/>
      <c r="G49" s="18"/>
      <c r="H49" s="18"/>
      <c r="I49" s="17"/>
      <c r="J49" s="16"/>
      <c r="K49" s="17"/>
      <c r="L49" s="17" t="s">
        <v>251</v>
      </c>
      <c r="M49" s="19"/>
      <c r="N49" s="17"/>
    </row>
    <row r="50" spans="1:14" ht="30" x14ac:dyDescent="0.25">
      <c r="A50" s="16" t="s">
        <v>252</v>
      </c>
      <c r="B50" s="16" t="s">
        <v>253</v>
      </c>
      <c r="C50" s="16" t="s">
        <v>15</v>
      </c>
      <c r="D50" s="16" t="s">
        <v>254</v>
      </c>
      <c r="E50" s="17"/>
      <c r="F50" s="17"/>
      <c r="G50" s="20">
        <v>7300</v>
      </c>
      <c r="H50" s="20" t="s">
        <v>256</v>
      </c>
      <c r="I50" s="21" t="s">
        <v>255</v>
      </c>
      <c r="J50" s="17"/>
      <c r="K50" s="17"/>
      <c r="L50" s="17"/>
      <c r="M50" s="19"/>
      <c r="N50" s="17" t="s">
        <v>257</v>
      </c>
    </row>
    <row r="51" spans="1:14" x14ac:dyDescent="0.25">
      <c r="A51" s="16" t="s">
        <v>165</v>
      </c>
      <c r="B51" s="16" t="s">
        <v>258</v>
      </c>
      <c r="C51" s="16" t="s">
        <v>32</v>
      </c>
      <c r="D51" s="16" t="s">
        <v>259</v>
      </c>
      <c r="E51" s="17"/>
      <c r="F51" s="17"/>
      <c r="G51" s="20">
        <v>1200</v>
      </c>
      <c r="H51" s="20">
        <v>2400</v>
      </c>
      <c r="I51" s="17"/>
      <c r="J51" s="17"/>
      <c r="K51" s="17">
        <v>25</v>
      </c>
      <c r="L51" s="17">
        <v>100</v>
      </c>
      <c r="M51" s="19">
        <f>H51-G51-L51-K51</f>
        <v>1075</v>
      </c>
      <c r="N51" s="17"/>
    </row>
    <row r="52" spans="1:14" x14ac:dyDescent="0.25">
      <c r="A52" s="16" t="s">
        <v>252</v>
      </c>
      <c r="B52" s="16" t="s">
        <v>260</v>
      </c>
      <c r="C52" s="16" t="s">
        <v>226</v>
      </c>
      <c r="D52" s="16" t="s">
        <v>261</v>
      </c>
      <c r="E52" s="17"/>
      <c r="F52" s="17"/>
      <c r="G52" s="20">
        <v>800</v>
      </c>
      <c r="H52" s="20" t="s">
        <v>83</v>
      </c>
      <c r="I52" s="17"/>
      <c r="J52" s="17"/>
      <c r="K52" s="17">
        <v>75</v>
      </c>
      <c r="L52" s="17"/>
      <c r="M52" s="19"/>
      <c r="N52" s="17" t="s">
        <v>262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autos_gavil_2025-12-04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2025-12-04T19:53:02Z</dcterms:created>
  <dcterms:modified xsi:type="dcterms:W3CDTF">2025-12-08T16:23:38Z</dcterms:modified>
</cp:coreProperties>
</file>